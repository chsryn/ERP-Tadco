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28FF923-8B12-4712-A223-4BA9927BAF75}" xr6:coauthVersionLast="47" xr6:coauthVersionMax="47" xr10:uidLastSave="{00000000-0000-0000-0000-000000000000}"/>
  <bookViews>
    <workbookView xWindow="-108" yWindow="-108" windowWidth="23256" windowHeight="13176" tabRatio="729" xr2:uid="{966CE7A3-5DD2-4EB7-B131-E044F2D1D8C5}"/>
  </bookViews>
  <sheets>
    <sheet name="001" sheetId="11" r:id="rId1"/>
  </sheets>
  <externalReferences>
    <externalReference r:id="rId2"/>
    <externalReference r:id="rId3"/>
    <externalReference r:id="rId4"/>
  </externalReferences>
  <definedNames>
    <definedName name="BM">[1]Sheet13!$A$4</definedName>
    <definedName name="BMBOX">[1]Sheet13!$A$13</definedName>
    <definedName name="BOX">[2]Sheet1!$B$6</definedName>
    <definedName name="BSBBOX">[1]Sheet13!$A$12</definedName>
    <definedName name="FH">[2]Sheet1!$B$3</definedName>
    <definedName name="FM" localSheetId="0">'001'!$I$39</definedName>
    <definedName name="FU">[1]Sheet13!$A$2</definedName>
    <definedName name="GC">[1]Sheet13!$A$5</definedName>
    <definedName name="GCH">[1]Sheet13!$A$6</definedName>
    <definedName name="GE">[1]Sheet13!$A$7</definedName>
    <definedName name="GEBOX">[1]Sheet13!$A$11</definedName>
    <definedName name="GEM">[1]Sheet13!$A$14</definedName>
    <definedName name="HB">[1]Sheet13!$A$8</definedName>
    <definedName name="IKHLAS" localSheetId="0">'001'!$A$10:$A$11</definedName>
    <definedName name="JM">[1]Sheet13!$A$1</definedName>
    <definedName name="JO">[1]Sheet13!$A$3</definedName>
    <definedName name="KM">[1]Sheet13!$A$9</definedName>
    <definedName name="LM" localSheetId="0">'001'!$I$38</definedName>
    <definedName name="LM">'[3]001'!$H$41</definedName>
    <definedName name="MAJU">'[2]Invoice 4'!$A$10:$A$11</definedName>
    <definedName name="PG" localSheetId="0">'001'!$A$10:$A$11</definedName>
    <definedName name="_xlnm.Print_Area" localSheetId="0">'001'!$A$1:$H$38</definedName>
    <definedName name="SANRI">'[2]Invoice 12'!$A$10:$A$11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1" l="1"/>
  <c r="F18" i="11" l="1"/>
  <c r="H18" i="11" s="1"/>
  <c r="E18" i="11"/>
  <c r="D18" i="11"/>
  <c r="F17" i="11"/>
  <c r="H17" i="11" s="1"/>
  <c r="E17" i="11"/>
  <c r="D17" i="11"/>
  <c r="D16" i="11"/>
  <c r="E16" i="11" s="1"/>
  <c r="D15" i="11"/>
  <c r="E15" i="11" s="1"/>
  <c r="F16" i="11" l="1"/>
  <c r="H16" i="11" s="1"/>
  <c r="F15" i="11"/>
  <c r="H15" i="11" s="1"/>
  <c r="H19" i="11" l="1"/>
  <c r="H21" i="11"/>
  <c r="H20" i="11" l="1"/>
</calcChain>
</file>

<file path=xl/sharedStrings.xml><?xml version="1.0" encoding="utf-8"?>
<sst xmlns="http://schemas.openxmlformats.org/spreadsheetml/2006/main" count="44" uniqueCount="43">
  <si>
    <t>© 2010-2019 Vertex42 LLC</t>
  </si>
  <si>
    <t>Invoice Template</t>
  </si>
  <si>
    <t xml:space="preserve"> </t>
  </si>
  <si>
    <t>Loco Makassar</t>
  </si>
  <si>
    <t>► More Invoice Templates</t>
  </si>
  <si>
    <t>AMOUNT</t>
  </si>
  <si>
    <t>← This sums the amounts with an "X" in the Taxed column</t>
  </si>
  <si>
    <t>← Enter the Tax Rate</t>
  </si>
  <si>
    <t>← You could change the label "Other" to "Shipping" or "Discount"</t>
  </si>
  <si>
    <t>Keterangan :</t>
  </si>
  <si>
    <t>*Pembayaran dialamatkan kepada:</t>
  </si>
  <si>
    <t>064201002188303</t>
  </si>
  <si>
    <t>1740020304010</t>
  </si>
  <si>
    <t>8460564418</t>
  </si>
  <si>
    <t>Franco Makassar</t>
  </si>
  <si>
    <t>PT TADCO TRANSPORT PERKASA</t>
  </si>
  <si>
    <t>CUSTOMER</t>
  </si>
  <si>
    <t>PPN (11%) :</t>
  </si>
  <si>
    <t>TOTAL :</t>
  </si>
  <si>
    <t>SOPIR</t>
  </si>
  <si>
    <t>KEPALA GUDANG</t>
  </si>
  <si>
    <t>CHECKER</t>
  </si>
  <si>
    <t>ADMIN</t>
  </si>
  <si>
    <t>TOP :</t>
  </si>
  <si>
    <t>BANK MANDIRI</t>
  </si>
  <si>
    <t>BANK BRI</t>
  </si>
  <si>
    <t>BANK BCA</t>
  </si>
  <si>
    <t>A/N PT TADCO TRANSPORT PERKASA</t>
  </si>
  <si>
    <t>JL. SOLO. NO. KM. 9, TIMUATO</t>
  </si>
  <si>
    <t>KEC. TELAGA BIRU, KAB. GORONTALO</t>
  </si>
  <si>
    <t>Phone: [-]</t>
  </si>
  <si>
    <t>Fax: [-]</t>
  </si>
  <si>
    <t>ITEM NAME</t>
  </si>
  <si>
    <t>ITEM CODE</t>
  </si>
  <si>
    <t>PRICE</t>
  </si>
  <si>
    <t>QTY</t>
  </si>
  <si>
    <t>NO. FAKTUR :</t>
  </si>
  <si>
    <t>DISCOUNT</t>
  </si>
  <si>
    <t>STRATA</t>
  </si>
  <si>
    <t>SUB TOTAL (INC PPN) :</t>
  </si>
  <si>
    <t>SALES INVOICE</t>
  </si>
  <si>
    <t>DATE :</t>
  </si>
  <si>
    <t>DUE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</si>
</sst>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21]dd\ mmmm\ yyyy;@"/>
  </numFmts>
  <fonts count="2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  <charset val="1"/>
    </font>
    <font>
      <sz val="18"/>
      <color theme="1"/>
      <name val="Bookman Old Style"/>
      <family val="1"/>
      <charset val="1"/>
    </font>
    <font>
      <sz val="16"/>
      <color theme="1"/>
      <name val="Bookman Old Style"/>
      <family val="1"/>
      <charset val="1"/>
    </font>
    <font>
      <sz val="20"/>
      <color theme="1"/>
      <name val="Bookman Old Style"/>
      <family val="1"/>
      <charset val="1"/>
    </font>
    <font>
      <sz val="24"/>
      <color theme="1"/>
      <name val="Bookman Old Style"/>
      <family val="1"/>
      <charset val="1"/>
    </font>
    <font>
      <sz val="14"/>
      <color theme="1"/>
      <name val="Bookman Old Style"/>
      <family val="1"/>
      <charset val="1"/>
    </font>
    <font>
      <sz val="12"/>
      <color theme="1"/>
      <name val="Bookman Old Style"/>
      <family val="1"/>
      <charset val="1"/>
    </font>
    <font>
      <sz val="10"/>
      <color theme="1"/>
      <name val="Bookman Old Style"/>
      <family val="1"/>
      <charset val="1"/>
    </font>
    <font>
      <sz val="8"/>
      <color theme="1"/>
      <name val="Arial"/>
      <family val="2"/>
      <charset val="1"/>
    </font>
    <font>
      <u/>
      <sz val="10"/>
      <color theme="1"/>
      <name val="Arial"/>
      <family val="2"/>
      <charset val="1"/>
    </font>
    <font>
      <sz val="11"/>
      <color theme="1"/>
      <name val="Bookman Old Style"/>
      <family val="1"/>
      <charset val="1"/>
    </font>
    <font>
      <sz val="11"/>
      <color theme="1"/>
      <name val="Arial"/>
      <family val="2"/>
      <charset val="1"/>
    </font>
    <font>
      <i/>
      <sz val="10"/>
      <color theme="1"/>
      <name val="Bookman Old Style"/>
      <family val="1"/>
      <charset val="1"/>
    </font>
    <font>
      <i/>
      <sz val="14"/>
      <color theme="1"/>
      <name val="Bookman Old Style"/>
      <family val="1"/>
      <charset val="1"/>
    </font>
    <font>
      <i/>
      <sz val="11"/>
      <color theme="1"/>
      <name val="Bookman Old Style"/>
      <family val="1"/>
      <charset val="1"/>
    </font>
    <font>
      <u/>
      <sz val="14"/>
      <color theme="1"/>
      <name val="Bookman Old Style"/>
      <family val="1"/>
      <charset val="1"/>
    </font>
    <font>
      <u/>
      <sz val="11"/>
      <color theme="1"/>
      <name val="Bookman Old Style"/>
      <family val="1"/>
      <charset val="1"/>
    </font>
    <font>
      <i/>
      <sz val="18"/>
      <color theme="1"/>
      <name val="Bookman Old Style"/>
      <family val="1"/>
      <charset val="1"/>
    </font>
    <font>
      <u/>
      <sz val="16"/>
      <color theme="1"/>
      <name val="Bookman Old Style"/>
      <family val="1"/>
      <charset val="1"/>
    </font>
    <font>
      <sz val="11"/>
      <color theme="1"/>
      <name val="Calibri"/>
      <family val="2"/>
      <scheme val="minor"/>
    </font>
    <font>
      <sz val="22"/>
      <color theme="1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</cellStyleXfs>
  <cellXfs count="115">
    <xf numFmtId="0" fontId="0" fillId="0" borderId="0" xfId="0"/>
    <xf numFmtId="0" fontId="5" fillId="0" borderId="0" xfId="2" applyFont="1" applyAlignment="1">
      <alignment wrapText="1"/>
    </xf>
    <xf numFmtId="0" fontId="7" fillId="0" borderId="0" xfId="2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0" fontId="9" fillId="0" borderId="0" xfId="2" applyFont="1" applyAlignment="1" applyProtection="1">
      <alignment horizontal="left" vertical="center" wrapText="1"/>
      <protection locked="0"/>
    </xf>
    <xf numFmtId="0" fontId="5" fillId="0" borderId="0" xfId="2" applyFont="1" applyAlignment="1">
      <alignment vertical="center" wrapText="1"/>
    </xf>
    <xf numFmtId="0" fontId="11" fillId="0" borderId="0" xfId="2" applyFont="1" applyAlignment="1" applyProtection="1">
      <alignment horizontal="left" vertical="center" wrapText="1"/>
      <protection locked="0"/>
    </xf>
    <xf numFmtId="0" fontId="12" fillId="0" borderId="0" xfId="2" applyFont="1" applyAlignment="1" applyProtection="1">
      <alignment horizontal="left" vertical="center" wrapText="1"/>
      <protection locked="0"/>
    </xf>
    <xf numFmtId="0" fontId="13" fillId="0" borderId="0" xfId="3" applyNumberFormat="1" applyFont="1" applyFill="1" applyAlignment="1">
      <alignment horizontal="left" vertical="center" wrapText="1"/>
    </xf>
    <xf numFmtId="0" fontId="10" fillId="0" borderId="10" xfId="2" applyFont="1" applyBorder="1" applyAlignment="1" applyProtection="1">
      <alignment horizontal="left" vertical="center" wrapText="1"/>
      <protection locked="0"/>
    </xf>
    <xf numFmtId="0" fontId="12" fillId="0" borderId="0" xfId="2" applyFont="1" applyAlignment="1">
      <alignment horizontal="left" vertical="center" wrapText="1"/>
    </xf>
    <xf numFmtId="16" fontId="5" fillId="0" borderId="0" xfId="2" applyNumberFormat="1" applyFont="1" applyAlignment="1">
      <alignment horizontal="left" vertical="center" wrapText="1"/>
    </xf>
    <xf numFmtId="0" fontId="14" fillId="0" borderId="0" xfId="4" applyFont="1" applyFill="1" applyAlignment="1" applyProtection="1">
      <alignment horizontal="left" vertical="center" wrapText="1"/>
    </xf>
    <xf numFmtId="0" fontId="15" fillId="0" borderId="0" xfId="2" applyFont="1" applyAlignment="1" applyProtection="1">
      <alignment horizontal="left" wrapText="1"/>
      <protection locked="0"/>
    </xf>
    <xf numFmtId="0" fontId="12" fillId="0" borderId="0" xfId="2" applyFont="1" applyAlignment="1">
      <alignment horizontal="left" wrapText="1"/>
    </xf>
    <xf numFmtId="0" fontId="12" fillId="0" borderId="0" xfId="2" applyFont="1" applyAlignment="1">
      <alignment wrapText="1"/>
    </xf>
    <xf numFmtId="0" fontId="14" fillId="0" borderId="0" xfId="4" applyFont="1" applyFill="1" applyAlignment="1" applyProtection="1">
      <alignment vertical="center" wrapText="1"/>
    </xf>
    <xf numFmtId="0" fontId="7" fillId="0" borderId="0" xfId="2" applyFont="1" applyAlignment="1">
      <alignment horizontal="left" wrapText="1"/>
    </xf>
    <xf numFmtId="0" fontId="16" fillId="0" borderId="0" xfId="2" applyFont="1" applyAlignment="1">
      <alignment wrapText="1"/>
    </xf>
    <xf numFmtId="0" fontId="17" fillId="0" borderId="0" xfId="2" applyFont="1" applyAlignment="1">
      <alignment horizontal="left" wrapText="1"/>
    </xf>
    <xf numFmtId="0" fontId="5" fillId="0" borderId="0" xfId="2" applyFont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10" fillId="0" borderId="4" xfId="2" applyFont="1" applyBorder="1" applyAlignment="1" applyProtection="1">
      <alignment horizontal="center" vertical="center" wrapText="1"/>
      <protection locked="0"/>
    </xf>
    <xf numFmtId="165" fontId="10" fillId="0" borderId="13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2" applyFont="1" applyAlignment="1">
      <alignment horizontal="center" vertical="center" wrapText="1"/>
    </xf>
    <xf numFmtId="165" fontId="10" fillId="0" borderId="0" xfId="1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1" applyNumberFormat="1" applyFont="1" applyFill="1" applyBorder="1" applyAlignment="1" applyProtection="1">
      <alignment horizontal="right" vertical="center" wrapText="1"/>
      <protection locked="0"/>
    </xf>
    <xf numFmtId="0" fontId="5" fillId="0" borderId="0" xfId="2" applyFont="1" applyAlignment="1">
      <alignment horizontal="left" vertical="center" wrapText="1"/>
    </xf>
    <xf numFmtId="0" fontId="10" fillId="0" borderId="0" xfId="2" applyFont="1" applyAlignment="1">
      <alignment vertical="center" wrapText="1"/>
    </xf>
    <xf numFmtId="165" fontId="10" fillId="0" borderId="0" xfId="1" applyNumberFormat="1" applyFont="1" applyFill="1" applyBorder="1" applyAlignment="1" applyProtection="1">
      <alignment horizontal="center" vertical="center" wrapText="1"/>
      <protection locked="0"/>
    </xf>
    <xf numFmtId="165" fontId="10" fillId="0" borderId="0" xfId="2" applyNumberFormat="1" applyFont="1" applyAlignment="1">
      <alignment vertical="center" wrapText="1"/>
    </xf>
    <xf numFmtId="0" fontId="19" fillId="0" borderId="0" xfId="2" applyFont="1" applyAlignment="1">
      <alignment horizontal="center" vertical="center" wrapText="1"/>
    </xf>
    <xf numFmtId="0" fontId="10" fillId="0" borderId="9" xfId="2" applyFont="1" applyBorder="1" applyAlignment="1">
      <alignment vertical="center" wrapText="1"/>
    </xf>
    <xf numFmtId="0" fontId="11" fillId="0" borderId="0" xfId="2" applyFont="1" applyAlignment="1">
      <alignment vertical="center" wrapText="1"/>
    </xf>
    <xf numFmtId="0" fontId="10" fillId="0" borderId="1" xfId="2" applyFont="1" applyBorder="1" applyAlignment="1">
      <alignment horizontal="center" vertical="center" wrapText="1"/>
    </xf>
    <xf numFmtId="0" fontId="20" fillId="0" borderId="10" xfId="2" applyFont="1" applyBorder="1" applyAlignment="1" applyProtection="1">
      <alignment vertical="center" wrapText="1"/>
      <protection locked="0"/>
    </xf>
    <xf numFmtId="0" fontId="21" fillId="0" borderId="0" xfId="2" applyFont="1" applyAlignment="1" applyProtection="1">
      <alignment vertical="center" wrapText="1"/>
      <protection locked="0"/>
    </xf>
    <xf numFmtId="0" fontId="10" fillId="0" borderId="10" xfId="2" applyFont="1" applyBorder="1" applyAlignment="1">
      <alignment vertical="center" wrapText="1"/>
    </xf>
    <xf numFmtId="0" fontId="10" fillId="0" borderId="2" xfId="2" applyFont="1" applyBorder="1" applyAlignment="1">
      <alignment vertical="center" wrapText="1"/>
    </xf>
    <xf numFmtId="0" fontId="10" fillId="0" borderId="3" xfId="2" applyFont="1" applyBorder="1" applyAlignment="1">
      <alignment vertical="center" wrapText="1"/>
    </xf>
    <xf numFmtId="0" fontId="15" fillId="0" borderId="0" xfId="2" applyFont="1" applyAlignment="1" applyProtection="1">
      <alignment horizontal="left" vertical="center" wrapText="1"/>
      <protection locked="0"/>
    </xf>
    <xf numFmtId="0" fontId="10" fillId="0" borderId="10" xfId="2" applyFont="1" applyBorder="1" applyAlignment="1" applyProtection="1">
      <alignment horizontal="center" vertical="center" wrapText="1"/>
      <protection locked="0"/>
    </xf>
    <xf numFmtId="0" fontId="18" fillId="0" borderId="5" xfId="2" applyFont="1" applyBorder="1" applyAlignment="1">
      <alignment horizontal="center" vertical="center" wrapText="1"/>
    </xf>
    <xf numFmtId="0" fontId="15" fillId="0" borderId="0" xfId="2" quotePrefix="1" applyFont="1" applyAlignment="1" applyProtection="1">
      <alignment horizontal="left" vertical="center" wrapText="1"/>
      <protection locked="0"/>
    </xf>
    <xf numFmtId="0" fontId="10" fillId="0" borderId="10" xfId="2" applyFont="1" applyBorder="1" applyAlignment="1" applyProtection="1">
      <alignment vertical="center" wrapText="1"/>
      <protection locked="0"/>
    </xf>
    <xf numFmtId="0" fontId="15" fillId="0" borderId="0" xfId="2" applyFont="1" applyAlignment="1" applyProtection="1">
      <alignment vertical="center" wrapText="1"/>
      <protection locked="0"/>
    </xf>
    <xf numFmtId="0" fontId="15" fillId="0" borderId="0" xfId="2" quotePrefix="1" applyFont="1" applyAlignment="1" applyProtection="1">
      <alignment vertical="center" wrapText="1"/>
      <protection locked="0"/>
    </xf>
    <xf numFmtId="0" fontId="10" fillId="0" borderId="5" xfId="2" applyFont="1" applyBorder="1" applyAlignment="1" applyProtection="1">
      <alignment horizontal="center" vertical="center" wrapText="1"/>
      <protection locked="0"/>
    </xf>
    <xf numFmtId="0" fontId="10" fillId="0" borderId="6" xfId="2" applyFont="1" applyBorder="1" applyAlignment="1" applyProtection="1">
      <alignment vertical="center" wrapText="1"/>
      <protection locked="0"/>
    </xf>
    <xf numFmtId="0" fontId="10" fillId="0" borderId="7" xfId="2" applyFont="1" applyBorder="1" applyAlignment="1" applyProtection="1">
      <alignment vertical="center" wrapText="1"/>
      <protection locked="0"/>
    </xf>
    <xf numFmtId="0" fontId="10" fillId="0" borderId="1" xfId="2" applyFont="1" applyBorder="1" applyAlignment="1" applyProtection="1">
      <alignment vertical="center" wrapText="1"/>
      <protection locked="0"/>
    </xf>
    <xf numFmtId="0" fontId="10" fillId="0" borderId="14" xfId="2" applyFont="1" applyBorder="1" applyAlignment="1" applyProtection="1">
      <alignment vertical="center" wrapText="1"/>
      <protection locked="0"/>
    </xf>
    <xf numFmtId="0" fontId="10" fillId="0" borderId="8" xfId="2" applyFont="1" applyBorder="1" applyAlignment="1" applyProtection="1">
      <alignment vertical="center" wrapText="1"/>
      <protection locked="0"/>
    </xf>
    <xf numFmtId="0" fontId="7" fillId="0" borderId="9" xfId="2" applyFont="1" applyBorder="1" applyAlignment="1" applyProtection="1">
      <alignment horizontal="left" vertical="center" wrapText="1"/>
      <protection locked="0"/>
    </xf>
    <xf numFmtId="0" fontId="7" fillId="0" borderId="10" xfId="2" applyFont="1" applyBorder="1" applyAlignment="1" applyProtection="1">
      <alignment horizontal="left" vertical="center" wrapText="1"/>
      <protection locked="0"/>
    </xf>
    <xf numFmtId="0" fontId="7" fillId="0" borderId="11" xfId="2" applyFont="1" applyBorder="1" applyAlignment="1" applyProtection="1">
      <alignment horizontal="left" vertical="center" wrapText="1"/>
      <protection locked="0"/>
    </xf>
    <xf numFmtId="0" fontId="10" fillId="0" borderId="4" xfId="2" applyFont="1" applyBorder="1" applyAlignment="1">
      <alignment vertical="center" wrapText="1"/>
    </xf>
    <xf numFmtId="0" fontId="10" fillId="0" borderId="5" xfId="2" applyFont="1" applyBorder="1" applyAlignment="1">
      <alignment vertical="center" wrapText="1"/>
    </xf>
    <xf numFmtId="0" fontId="6" fillId="0" borderId="0" xfId="2" applyFont="1" applyAlignment="1">
      <alignment horizontal="left" wrapText="1"/>
    </xf>
    <xf numFmtId="0" fontId="6" fillId="0" borderId="10" xfId="2" applyFont="1" applyBorder="1" applyAlignment="1" applyProtection="1">
      <alignment horizontal="left" vertical="center" wrapText="1"/>
      <protection locked="0"/>
    </xf>
    <xf numFmtId="0" fontId="6" fillId="0" borderId="10" xfId="2" quotePrefix="1" applyFont="1" applyBorder="1" applyAlignment="1" applyProtection="1">
      <alignment horizontal="left" vertical="center" wrapText="1" indent="1"/>
      <protection locked="0"/>
    </xf>
    <xf numFmtId="0" fontId="6" fillId="0" borderId="10" xfId="2" applyFont="1" applyBorder="1" applyAlignment="1" applyProtection="1">
      <alignment vertical="center" wrapText="1"/>
      <protection locked="0"/>
    </xf>
    <xf numFmtId="0" fontId="6" fillId="0" borderId="10" xfId="2" quotePrefix="1" applyFont="1" applyBorder="1" applyAlignment="1" applyProtection="1">
      <alignment horizontal="left" vertical="center" wrapText="1"/>
      <protection locked="0"/>
    </xf>
    <xf numFmtId="0" fontId="6" fillId="0" borderId="11" xfId="2" quotePrefix="1" applyFont="1" applyBorder="1" applyAlignment="1" applyProtection="1">
      <alignment horizontal="left" vertical="center" wrapText="1" indent="1"/>
      <protection locked="0"/>
    </xf>
    <xf numFmtId="0" fontId="23" fillId="0" borderId="10" xfId="2" applyFont="1" applyBorder="1" applyAlignment="1" applyProtection="1">
      <alignment vertical="center" wrapText="1"/>
      <protection locked="0"/>
    </xf>
    <xf numFmtId="0" fontId="6" fillId="0" borderId="4" xfId="1" applyNumberFormat="1" applyFont="1" applyFill="1" applyBorder="1" applyAlignment="1" applyProtection="1">
      <alignment horizontal="right" vertical="center" wrapText="1"/>
      <protection locked="0"/>
    </xf>
    <xf numFmtId="0" fontId="6" fillId="0" borderId="6" xfId="1" applyNumberFormat="1" applyFont="1" applyFill="1" applyBorder="1" applyAlignment="1" applyProtection="1">
      <alignment horizontal="right" vertical="center" wrapText="1"/>
      <protection locked="0"/>
    </xf>
    <xf numFmtId="165" fontId="5" fillId="0" borderId="0" xfId="2" applyNumberFormat="1" applyFont="1" applyAlignment="1">
      <alignment horizontal="left" vertical="center" wrapText="1"/>
    </xf>
    <xf numFmtId="165" fontId="6" fillId="0" borderId="5" xfId="1" applyNumberFormat="1" applyFont="1" applyBorder="1" applyAlignment="1" applyProtection="1">
      <alignment horizontal="left" vertical="center" wrapText="1" indent="6"/>
      <protection locked="0"/>
    </xf>
    <xf numFmtId="0" fontId="7" fillId="0" borderId="12" xfId="2" applyFont="1" applyBorder="1" applyAlignment="1">
      <alignment horizontal="center" vertical="center" wrapText="1"/>
    </xf>
    <xf numFmtId="165" fontId="8" fillId="0" borderId="5" xfId="1" applyNumberFormat="1" applyFont="1" applyFill="1" applyBorder="1" applyAlignment="1" applyProtection="1">
      <alignment horizontal="left" vertical="center" wrapText="1" indent="6"/>
      <protection locked="0"/>
    </xf>
    <xf numFmtId="165" fontId="8" fillId="0" borderId="7" xfId="1" applyNumberFormat="1" applyFont="1" applyBorder="1" applyAlignment="1">
      <alignment horizontal="left" vertical="center" wrapText="1" indent="6"/>
    </xf>
    <xf numFmtId="0" fontId="8" fillId="0" borderId="5" xfId="2" applyFont="1" applyBorder="1" applyAlignment="1" applyProtection="1">
      <alignment horizontal="left" vertical="center" wrapText="1"/>
      <protection locked="0"/>
    </xf>
    <xf numFmtId="0" fontId="8" fillId="0" borderId="12" xfId="2" applyFont="1" applyBorder="1" applyAlignment="1" applyProtection="1">
      <alignment horizontal="center" vertical="center" wrapText="1"/>
      <protection locked="0"/>
    </xf>
    <xf numFmtId="0" fontId="8" fillId="0" borderId="12" xfId="2" applyFont="1" applyBorder="1" applyAlignment="1" applyProtection="1">
      <alignment vertical="center" wrapText="1"/>
      <protection locked="0"/>
    </xf>
    <xf numFmtId="10" fontId="8" fillId="0" borderId="12" xfId="6" applyNumberFormat="1" applyFont="1" applyFill="1" applyBorder="1" applyAlignment="1">
      <alignment horizontal="center" vertical="center" wrapText="1"/>
    </xf>
    <xf numFmtId="165" fontId="8" fillId="0" borderId="12" xfId="1" applyNumberFormat="1" applyFont="1" applyFill="1" applyBorder="1" applyAlignment="1">
      <alignment horizontal="center" vertical="center" wrapText="1"/>
    </xf>
    <xf numFmtId="165" fontId="8" fillId="0" borderId="3" xfId="1" applyNumberFormat="1" applyFont="1" applyFill="1" applyBorder="1" applyAlignment="1" applyProtection="1">
      <alignment vertical="center" wrapText="1"/>
      <protection locked="0"/>
    </xf>
    <xf numFmtId="0" fontId="8" fillId="0" borderId="4" xfId="2" applyFont="1" applyBorder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vertical="center" wrapText="1"/>
      <protection locked="0"/>
    </xf>
    <xf numFmtId="10" fontId="8" fillId="0" borderId="0" xfId="6" applyNumberFormat="1" applyFont="1" applyFill="1" applyBorder="1" applyAlignment="1">
      <alignment horizontal="center" vertical="center" wrapText="1"/>
    </xf>
    <xf numFmtId="165" fontId="8" fillId="0" borderId="0" xfId="1" applyNumberFormat="1" applyFont="1" applyFill="1" applyBorder="1" applyAlignment="1">
      <alignment horizontal="center" vertical="center" wrapText="1"/>
    </xf>
    <xf numFmtId="165" fontId="8" fillId="0" borderId="5" xfId="1" applyNumberFormat="1" applyFont="1" applyFill="1" applyBorder="1" applyAlignment="1" applyProtection="1">
      <alignment vertical="center" wrapText="1"/>
      <protection locked="0"/>
    </xf>
    <xf numFmtId="0" fontId="8" fillId="0" borderId="13" xfId="2" applyFont="1" applyBorder="1" applyAlignment="1" applyProtection="1">
      <alignment horizontal="center" vertical="center" wrapText="1"/>
      <protection locked="0"/>
    </xf>
    <xf numFmtId="0" fontId="8" fillId="0" borderId="13" xfId="2" applyFont="1" applyBorder="1" applyAlignment="1" applyProtection="1">
      <alignment vertical="center" wrapText="1"/>
      <protection locked="0"/>
    </xf>
    <xf numFmtId="10" fontId="8" fillId="0" borderId="13" xfId="6" applyNumberFormat="1" applyFont="1" applyFill="1" applyBorder="1" applyAlignment="1">
      <alignment horizontal="center" vertical="center" wrapText="1"/>
    </xf>
    <xf numFmtId="165" fontId="8" fillId="0" borderId="13" xfId="1" applyNumberFormat="1" applyFont="1" applyFill="1" applyBorder="1" applyAlignment="1">
      <alignment horizontal="center" vertical="center" wrapText="1"/>
    </xf>
    <xf numFmtId="165" fontId="8" fillId="0" borderId="7" xfId="1" applyNumberFormat="1" applyFont="1" applyFill="1" applyBorder="1" applyAlignment="1" applyProtection="1">
      <alignment vertical="center" wrapText="1"/>
      <protection locked="0"/>
    </xf>
    <xf numFmtId="0" fontId="6" fillId="0" borderId="1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165" fontId="8" fillId="0" borderId="0" xfId="1" applyNumberFormat="1" applyFont="1" applyFill="1" applyBorder="1" applyAlignment="1" applyProtection="1">
      <alignment horizontal="left" vertical="center" wrapText="1"/>
      <protection locked="0"/>
    </xf>
    <xf numFmtId="166" fontId="8" fillId="0" borderId="3" xfId="2" applyNumberFormat="1" applyFont="1" applyBorder="1" applyAlignment="1" applyProtection="1">
      <alignment horizontal="left" vertical="center" wrapText="1"/>
      <protection locked="0"/>
    </xf>
    <xf numFmtId="0" fontId="8" fillId="0" borderId="5" xfId="2" applyFont="1" applyBorder="1" applyAlignment="1">
      <alignment horizontal="left" vertical="center" wrapText="1"/>
    </xf>
    <xf numFmtId="0" fontId="25" fillId="0" borderId="0" xfId="2" applyFont="1" applyAlignment="1" applyProtection="1">
      <alignment horizontal="left" vertical="center" wrapText="1"/>
      <protection locked="0"/>
    </xf>
    <xf numFmtId="166" fontId="8" fillId="0" borderId="7" xfId="2" applyNumberFormat="1" applyFont="1" applyBorder="1" applyAlignment="1" applyProtection="1">
      <alignment horizontal="left" vertical="center" wrapText="1"/>
      <protection locked="0"/>
    </xf>
    <xf numFmtId="0" fontId="25" fillId="0" borderId="1" xfId="2" applyFont="1" applyBorder="1" applyAlignment="1" applyProtection="1">
      <alignment horizontal="left" vertical="center" wrapText="1"/>
      <protection locked="0"/>
    </xf>
    <xf numFmtId="0" fontId="25" fillId="0" borderId="13" xfId="2" applyFont="1" applyBorder="1" applyAlignment="1">
      <alignment horizontal="right" vertical="center" wrapText="1"/>
    </xf>
    <xf numFmtId="0" fontId="6" fillId="0" borderId="2" xfId="2" applyFont="1" applyBorder="1" applyAlignment="1">
      <alignment horizontal="right" vertical="center" wrapText="1"/>
    </xf>
    <xf numFmtId="0" fontId="6" fillId="0" borderId="12" xfId="2" applyFont="1" applyBorder="1" applyAlignment="1">
      <alignment horizontal="right" vertical="center" wrapText="1"/>
    </xf>
    <xf numFmtId="0" fontId="6" fillId="0" borderId="4" xfId="2" applyFont="1" applyBorder="1" applyAlignment="1">
      <alignment horizontal="right" vertical="center" wrapText="1"/>
    </xf>
    <xf numFmtId="0" fontId="6" fillId="0" borderId="0" xfId="2" applyFont="1" applyAlignment="1">
      <alignment horizontal="right" vertical="center" wrapText="1"/>
    </xf>
    <xf numFmtId="0" fontId="6" fillId="0" borderId="6" xfId="2" applyFont="1" applyBorder="1" applyAlignment="1">
      <alignment horizontal="right" vertical="center" wrapText="1"/>
    </xf>
    <xf numFmtId="0" fontId="6" fillId="0" borderId="13" xfId="2" applyFont="1" applyBorder="1" applyAlignment="1">
      <alignment horizontal="right" vertical="center" wrapText="1"/>
    </xf>
    <xf numFmtId="0" fontId="22" fillId="0" borderId="0" xfId="2" applyFont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8" fillId="0" borderId="4" xfId="2" applyFont="1" applyBorder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0" fontId="8" fillId="0" borderId="6" xfId="2" applyFont="1" applyBorder="1" applyAlignment="1" applyProtection="1">
      <alignment horizontal="left" vertical="center" wrapText="1"/>
      <protection locked="0"/>
    </xf>
    <xf numFmtId="0" fontId="8" fillId="0" borderId="13" xfId="2" applyFont="1" applyBorder="1" applyAlignment="1" applyProtection="1">
      <alignment horizontal="left" vertical="center" wrapText="1"/>
      <protection locked="0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 applyProtection="1">
      <alignment horizontal="center" vertical="center" wrapText="1"/>
      <protection locked="0"/>
    </xf>
  </cellXfs>
  <cellStyles count="8">
    <cellStyle name="Comma" xfId="1" builtinId="3"/>
    <cellStyle name="Comma [0] 2" xfId="5" xr:uid="{C90860C8-1E29-4FFD-A31E-9BD49614FC88}"/>
    <cellStyle name="Comma 2 2" xfId="3" xr:uid="{A5318597-9AE1-47F8-8F90-AC85472D1D1D}"/>
    <cellStyle name="Hyperlink 2" xfId="4" xr:uid="{0AD042F0-F867-4CE4-84BF-24C3CBF20AAA}"/>
    <cellStyle name="Normal" xfId="0" builtinId="0"/>
    <cellStyle name="Normal 2" xfId="7" xr:uid="{21634163-D5AA-4563-B657-949562B46926}"/>
    <cellStyle name="Normal 2 2" xfId="2" xr:uid="{D36B9359-CD15-4769-A799-36CF2068580A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excel-invoice-template.html?utm_source=invoice-template&amp;utm_campaign=templates&amp;utm_content=socia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vertex42.cdom/?utm_source=invoice-template&amp;utm_campaign=templates&amp;utm_content=logo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154781</xdr:rowOff>
    </xdr:from>
    <xdr:to>
      <xdr:col>10</xdr:col>
      <xdr:colOff>1428750</xdr:colOff>
      <xdr:row>2</xdr:row>
      <xdr:rowOff>476250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A0DB8-5463-43B2-9DDE-07E226AB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5900" y="472281"/>
          <a:ext cx="1428750" cy="22621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59449</xdr:rowOff>
    </xdr:from>
    <xdr:to>
      <xdr:col>11</xdr:col>
      <xdr:colOff>581025</xdr:colOff>
      <xdr:row>13</xdr:row>
      <xdr:rowOff>219631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90E5ED-D49B-4A53-83F7-5DF53CD36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5900" y="2523249"/>
          <a:ext cx="2879725" cy="896782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.%20TADCo%20Transport%20Perkasa%20(TTP)/2025/Invoice/Invoice%20Makassar%202025.xlsx" TargetMode="External"/><Relationship Id="rId2" Type="http://schemas.openxmlformats.org/officeDocument/2006/relationships/externalLinkPath" Target="file:///D:\2.%20TADCo%20Transport%20Perkasa%20(TTP)\2025\Invoice\Invoice%20Makassar%202025.xlsx" TargetMode="External"/><Relationship Id="rId1" Type="http://schemas.openxmlformats.org/officeDocument/2006/relationships/externalLinkPath" Target="/2.%20TADCo%20Transport%20Perkasa%20(TTP)/2025/Invoice/Invoice%20Makassa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.%20TADCo%20Transport%20Perkasa%20(TTP)/2023/Invoice/Form%20Invoice.xlsx" TargetMode="External"/><Relationship Id="rId2" Type="http://schemas.openxmlformats.org/officeDocument/2006/relationships/externalLinkPath" Target="file:///D:\2.%20TADCo%20Transport%20Perkasa%20(TTP)\2023\Invoice\Form%20Invoice.xlsx" TargetMode="External"/><Relationship Id="rId1" Type="http://schemas.openxmlformats.org/officeDocument/2006/relationships/externalLinkPath" Target="/2.%20TADCo%20Transport%20Perkasa%20(TTP)/2023/Invoice/Form%20Invoic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.%20TADCo%20Transport%20Perkasa%20(TTP)/2026/Invoice/Invoice%202026.xlsx" TargetMode="External"/><Relationship Id="rId2" Type="http://schemas.openxmlformats.org/officeDocument/2006/relationships/externalLinkPath" Target="file:///D:\2.%20TADCo%20Transport%20Perkasa%20(TTP)\2026\Invoice\Invoice%202026.xlsx" TargetMode="External"/><Relationship Id="rId1" Type="http://schemas.openxmlformats.org/officeDocument/2006/relationships/externalLinkPath" Target="/2.%20TADCo%20Transport%20Perkasa%20(TTP)/2026/Invoice/Invoic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001"/>
      <sheetName val="INV 002"/>
      <sheetName val="INV 003"/>
      <sheetName val="INV 004"/>
      <sheetName val="INV 005"/>
      <sheetName val="INV 006"/>
      <sheetName val="INV 007"/>
      <sheetName val="INV 008"/>
      <sheetName val="INV 009"/>
      <sheetName val="INV 010"/>
      <sheetName val="INV 011"/>
      <sheetName val="INV 012"/>
      <sheetName val="INV 013"/>
      <sheetName val="INV 014"/>
      <sheetName val="INV 015"/>
      <sheetName val="INV 016"/>
      <sheetName val="INV 017"/>
      <sheetName val="INV 018"/>
      <sheetName val="INV 019"/>
      <sheetName val="INV 020"/>
      <sheetName val="INV 021"/>
      <sheetName val="INV 022"/>
      <sheetName val="INV 023"/>
      <sheetName val="INV 024"/>
      <sheetName val="INV 025"/>
      <sheetName val="INV 026"/>
      <sheetName val="INV 027"/>
      <sheetName val="INV 028"/>
      <sheetName val="INV 029"/>
      <sheetName val="INV 030"/>
      <sheetName val="INV 031"/>
      <sheetName val="INV 032"/>
      <sheetName val="INV 033"/>
      <sheetName val="INV 034"/>
      <sheetName val="INV 035"/>
      <sheetName val="INV 036"/>
      <sheetName val="INV 037"/>
      <sheetName val="INV 038"/>
      <sheetName val="INV 039"/>
      <sheetName val="INV 040"/>
      <sheetName val="INV 041"/>
      <sheetName val="INV 042"/>
      <sheetName val="INV 043"/>
      <sheetName val="INV 044"/>
      <sheetName val="INV 045"/>
      <sheetName val="INV 046"/>
      <sheetName val="INV 047"/>
      <sheetName val="INV 048"/>
      <sheetName val="INV 049"/>
      <sheetName val="INV 050"/>
      <sheetName val="INV 051"/>
      <sheetName val="INV 052"/>
      <sheetName val="INV 053"/>
      <sheetName val="INV 054"/>
      <sheetName val="INV 055"/>
      <sheetName val="INV 056"/>
      <sheetName val="INV 057"/>
      <sheetName val="INV 058"/>
      <sheetName val="INV 059"/>
      <sheetName val="INV 060"/>
      <sheetName val="INV 061"/>
      <sheetName val="INV 062"/>
      <sheetName val="INV 063"/>
      <sheetName val="INV 064"/>
      <sheetName val="INV 065"/>
      <sheetName val="INV 066"/>
      <sheetName val="INV 067"/>
      <sheetName val="INV 068"/>
      <sheetName val="INV 069"/>
      <sheetName val="INV 070"/>
      <sheetName val="INV 071"/>
      <sheetName val="INV 072"/>
      <sheetName val="INV 073"/>
      <sheetName val="INV 074"/>
      <sheetName val="INV 075"/>
      <sheetName val="INV 076"/>
      <sheetName val="INV 077"/>
      <sheetName val="INV 078"/>
      <sheetName val="INV 079"/>
      <sheetName val="INV 080"/>
      <sheetName val="INV 081"/>
      <sheetName val="INV 082"/>
      <sheetName val="INV 083"/>
      <sheetName val="INV 084"/>
      <sheetName val="INV 085"/>
      <sheetName val="INV 086"/>
      <sheetName val="INV 087"/>
      <sheetName val="INV 088"/>
      <sheetName val="INV 089"/>
      <sheetName val="INV 090"/>
      <sheetName val="INV 091"/>
      <sheetName val="INV 092"/>
      <sheetName val="INV 093"/>
      <sheetName val="INV 094"/>
      <sheetName val="INV 095"/>
      <sheetName val="INV 096"/>
      <sheetName val="INV 097"/>
      <sheetName val="INV 098"/>
      <sheetName val="INV 099"/>
      <sheetName val="INV 100"/>
      <sheetName val="INV 102"/>
      <sheetName val="INV 101"/>
      <sheetName val="INV 103"/>
      <sheetName val="INV 104"/>
      <sheetName val="INV 105"/>
      <sheetName val="INV 106"/>
      <sheetName val="INV 107"/>
      <sheetName val="INV 108"/>
      <sheetName val="INV 109"/>
      <sheetName val="INV 110"/>
      <sheetName val="INV 111"/>
      <sheetName val="INV 112"/>
      <sheetName val="INV 113"/>
      <sheetName val="INV 114"/>
      <sheetName val="INV 115"/>
      <sheetName val="INV 116"/>
      <sheetName val="INV 117"/>
      <sheetName val="INV 118"/>
      <sheetName val="INV 119"/>
      <sheetName val="INV 120"/>
      <sheetName val="INV 121"/>
      <sheetName val="INV 122"/>
      <sheetName val="INV 123"/>
      <sheetName val="INV 124"/>
      <sheetName val="INV 125"/>
      <sheetName val="INV 126"/>
      <sheetName val="INV 127"/>
      <sheetName val="INV 128"/>
      <sheetName val="INV 129"/>
      <sheetName val="INV 130"/>
      <sheetName val="INV 131"/>
      <sheetName val="INV 132"/>
      <sheetName val="INV 133"/>
      <sheetName val="INV 134"/>
      <sheetName val="INV 135"/>
      <sheetName val="INV 136"/>
      <sheetName val="INV 137"/>
      <sheetName val="INV 138"/>
      <sheetName val="INV 139"/>
      <sheetName val="INV 140"/>
      <sheetName val="INV 141"/>
      <sheetName val="INV 142"/>
      <sheetName val="INV 143"/>
      <sheetName val="INV 144"/>
      <sheetName val="INV 145"/>
      <sheetName val="INV 146"/>
      <sheetName val="INV 147"/>
      <sheetName val="INV 148"/>
      <sheetName val="INV 149"/>
      <sheetName val="INV 150"/>
      <sheetName val="INV 151"/>
      <sheetName val="INV 152"/>
      <sheetName val="INV 153"/>
      <sheetName val="INV 154"/>
      <sheetName val="INV 155"/>
      <sheetName val="INV 156"/>
      <sheetName val="INV 157"/>
      <sheetName val="INV 158"/>
      <sheetName val="INV 159"/>
      <sheetName val="INV 160"/>
      <sheetName val="INV 161"/>
      <sheetName val="INV 162"/>
      <sheetName val="INV 163"/>
      <sheetName val="INV 164"/>
      <sheetName val="INV 165"/>
      <sheetName val="INV 166"/>
      <sheetName val="INV 167"/>
      <sheetName val="INV 168"/>
      <sheetName val="INV 169"/>
      <sheetName val="INV 170"/>
      <sheetName val="INV 171"/>
      <sheetName val="INV 172"/>
      <sheetName val="INV 173"/>
      <sheetName val="INV 174"/>
      <sheetName val="INV 175"/>
      <sheetName val="INV 176"/>
      <sheetName val="INV 177"/>
      <sheetName val="INV 178"/>
      <sheetName val="INV 179"/>
      <sheetName val="INV 180"/>
      <sheetName val="INV 181"/>
      <sheetName val="INV 182"/>
      <sheetName val="INV 183"/>
      <sheetName val="INV 184"/>
      <sheetName val="INV 185"/>
      <sheetName val="INV 186"/>
      <sheetName val="INV 187"/>
      <sheetName val="INV 188"/>
      <sheetName val="INV 189"/>
      <sheetName val="INV 190"/>
      <sheetName val="INV 191"/>
      <sheetName val="INV 192"/>
      <sheetName val="INV 193"/>
      <sheetName val="INV 194"/>
      <sheetName val="INV 195"/>
      <sheetName val="INV 196"/>
      <sheetName val="INV 197"/>
      <sheetName val="INV 198"/>
      <sheetName val="INV 199"/>
      <sheetName val="INV 200"/>
      <sheetName val="INV 201"/>
      <sheetName val="INV 202"/>
      <sheetName val="INV 203"/>
      <sheetName val="INV 204"/>
      <sheetName val="INV 205"/>
      <sheetName val="INV 206"/>
      <sheetName val="INV 207"/>
      <sheetName val="INV 208"/>
      <sheetName val="INV 209"/>
      <sheetName val="INV 210"/>
      <sheetName val="INV 211"/>
      <sheetName val="INV 213"/>
      <sheetName val="INV 212"/>
      <sheetName val="INV 214"/>
      <sheetName val="INV 215"/>
      <sheetName val="INV 216"/>
      <sheetName val="INV 217"/>
      <sheetName val="INV 218"/>
      <sheetName val="INV 219"/>
      <sheetName val="INV 220"/>
      <sheetName val="INV 221"/>
      <sheetName val="INV 222"/>
      <sheetName val="INV 223"/>
      <sheetName val="INV 224"/>
      <sheetName val="INV 225"/>
      <sheetName val="INV 226"/>
      <sheetName val="INV 227"/>
      <sheetName val="INV 228"/>
      <sheetName val="INV 229"/>
      <sheetName val="INV 230"/>
      <sheetName val="INV 231"/>
      <sheetName val="INV 232"/>
      <sheetName val="INV 233"/>
      <sheetName val="INV 234"/>
      <sheetName val="INV 235"/>
      <sheetName val="INV 236"/>
      <sheetName val="INV 237"/>
      <sheetName val="INV 238"/>
      <sheetName val="INV 239"/>
      <sheetName val="INV 240"/>
      <sheetName val="INV 241"/>
      <sheetName val="INV 242"/>
      <sheetName val="INV 243"/>
      <sheetName val="INV 244"/>
      <sheetName val="INV 245"/>
      <sheetName val="INV 246"/>
      <sheetName val="INV 247"/>
      <sheetName val="INV 248"/>
      <sheetName val="INV 249"/>
      <sheetName val="INV 250"/>
      <sheetName val="INV 251"/>
      <sheetName val="INV 252"/>
      <sheetName val="INV 253"/>
      <sheetName val="INV 254"/>
      <sheetName val="INV 255"/>
      <sheetName val="INV 256"/>
      <sheetName val="INV 257"/>
      <sheetName val="INV 258"/>
      <sheetName val="INV 259"/>
      <sheetName val="INV 260"/>
      <sheetName val="INV 261"/>
      <sheetName val="INV 262"/>
      <sheetName val="INV 263"/>
      <sheetName val="INV 264"/>
      <sheetName val="INV 265"/>
      <sheetName val="INV 266"/>
      <sheetName val="INV 267"/>
      <sheetName val="INV 268"/>
      <sheetName val="INV 269"/>
      <sheetName val="INV 270"/>
      <sheetName val="INV 271"/>
      <sheetName val="INV 272"/>
      <sheetName val="INV 273"/>
      <sheetName val="INV 274"/>
      <sheetName val="INV 275"/>
      <sheetName val="INV 276"/>
      <sheetName val="INV 277"/>
      <sheetName val="INV 278"/>
      <sheetName val="INV 279"/>
      <sheetName val="INV 280"/>
      <sheetName val="INV 281"/>
      <sheetName val="INV 282"/>
      <sheetName val="INV 283"/>
      <sheetName val="INV 284"/>
      <sheetName val="INV 285"/>
      <sheetName val="INV 286"/>
      <sheetName val="INV 287"/>
      <sheetName val="INV 288"/>
      <sheetName val="INV 289"/>
      <sheetName val="INV 290"/>
      <sheetName val="INV 291"/>
      <sheetName val="INV 292"/>
      <sheetName val="INV 293"/>
      <sheetName val="INV 294"/>
      <sheetName val="INV 295"/>
      <sheetName val="INV 296"/>
      <sheetName val="INV 297"/>
      <sheetName val="INV 298"/>
      <sheetName val="INV 299"/>
      <sheetName val="INV 300"/>
      <sheetName val="INV 301"/>
      <sheetName val="INV 302"/>
      <sheetName val="INV 303"/>
      <sheetName val="INV 304"/>
      <sheetName val="INV 305"/>
      <sheetName val="INV 306"/>
      <sheetName val="INV 307"/>
      <sheetName val="INV 308"/>
      <sheetName val="INV 309"/>
      <sheetName val="INV 310"/>
      <sheetName val="INV 311"/>
      <sheetName val="INV 312"/>
      <sheetName val="INV 313"/>
      <sheetName val="INV 314"/>
      <sheetName val="INV 315"/>
      <sheetName val="INV 316"/>
      <sheetName val="INV 317"/>
      <sheetName val="INV 318"/>
      <sheetName val="INV 319"/>
      <sheetName val="INV 320"/>
      <sheetName val="INV 321"/>
      <sheetName val="INV 322"/>
      <sheetName val="INV 323"/>
      <sheetName val="INV 324"/>
      <sheetName val="INV 325"/>
      <sheetName val="INV 326"/>
      <sheetName val="INV 327"/>
      <sheetName val="INV 328"/>
      <sheetName val="INV 329"/>
      <sheetName val="INV 330"/>
      <sheetName val="INV 331"/>
      <sheetName val="INV 332"/>
      <sheetName val="INV 333"/>
      <sheetName val="INV 334"/>
      <sheetName val="INV 335"/>
      <sheetName val="INV 336"/>
      <sheetName val="INV 337"/>
      <sheetName val="INV 338"/>
      <sheetName val="INV 339"/>
      <sheetName val="INV 340"/>
      <sheetName val="INV 341"/>
      <sheetName val="INV 342"/>
      <sheetName val="INV 343"/>
      <sheetName val="INV 344"/>
      <sheetName val="INV 345"/>
      <sheetName val="INV 346"/>
      <sheetName val="INV 347"/>
      <sheetName val="INV 348"/>
      <sheetName val="INV 349"/>
      <sheetName val="INV 350"/>
      <sheetName val="INV 351"/>
      <sheetName val="INV 352"/>
      <sheetName val="INV 353"/>
      <sheetName val="INV 354"/>
      <sheetName val="INV 355"/>
      <sheetName val="INV 356"/>
      <sheetName val="INV 357"/>
      <sheetName val="INV 358"/>
      <sheetName val="INV 359"/>
      <sheetName val="INV 360"/>
      <sheetName val="INV 361"/>
      <sheetName val="INV 362"/>
      <sheetName val="INV 363"/>
      <sheetName val="INV 364"/>
      <sheetName val="INV 365"/>
      <sheetName val="INV 366"/>
      <sheetName val="INV 367"/>
      <sheetName val="INV 368"/>
      <sheetName val="INV 369"/>
      <sheetName val="INV 370"/>
      <sheetName val="INV 371"/>
      <sheetName val="INV 372"/>
      <sheetName val="INV 373"/>
      <sheetName val="INV 374"/>
      <sheetName val="INV 375"/>
      <sheetName val="INV 376"/>
      <sheetName val="INV 377"/>
      <sheetName val="INV 378"/>
      <sheetName val="INV 379"/>
      <sheetName val="INV 380"/>
      <sheetName val="INV 381"/>
      <sheetName val="INV 382"/>
      <sheetName val="INV 383"/>
      <sheetName val="INV 384"/>
      <sheetName val="INV 385"/>
      <sheetName val="INV 386"/>
      <sheetName val="INV 387"/>
      <sheetName val="INV 388"/>
      <sheetName val="INV 389"/>
      <sheetName val="INV 390"/>
      <sheetName val="INV 391"/>
      <sheetName val="INV 392"/>
      <sheetName val="INV 393"/>
      <sheetName val="INV 394"/>
      <sheetName val="INV 395"/>
      <sheetName val="INV 396"/>
      <sheetName val="INV 397"/>
      <sheetName val="INV 398"/>
      <sheetName val="INV 399"/>
      <sheetName val="INV 400"/>
      <sheetName val="INV 401"/>
      <sheetName val="INV 402"/>
      <sheetName val="INV 403"/>
      <sheetName val="INV 404"/>
      <sheetName val="INV 405"/>
      <sheetName val="INV 406"/>
      <sheetName val="INV 407"/>
      <sheetName val="INV 408"/>
      <sheetName val="INV 409"/>
      <sheetName val="INV 410"/>
      <sheetName val="INV 411"/>
      <sheetName val="INV 412"/>
      <sheetName val="INV 413"/>
      <sheetName val="INV 414"/>
      <sheetName val="INV 415"/>
      <sheetName val="INV 416"/>
      <sheetName val="INV 417"/>
      <sheetName val="INV 418"/>
      <sheetName val="INV 419"/>
      <sheetName val="INV 420"/>
      <sheetName val="INV 421"/>
      <sheetName val="INV 422"/>
      <sheetName val="INV 423"/>
      <sheetName val="INV 424"/>
      <sheetName val="INV 425"/>
      <sheetName val="INV 426"/>
      <sheetName val="INV 427"/>
      <sheetName val="INV 428"/>
      <sheetName val="INV 429"/>
      <sheetName val="INV 430"/>
      <sheetName val="INV 431"/>
      <sheetName val="INV 432"/>
      <sheetName val="INV 433"/>
      <sheetName val="INV 434"/>
      <sheetName val="INV 435"/>
      <sheetName val="INV 436"/>
      <sheetName val="INV 437"/>
      <sheetName val="INV 438"/>
      <sheetName val="INV 439"/>
      <sheetName val="INV 440"/>
      <sheetName val="INV 441"/>
      <sheetName val="INV 442"/>
      <sheetName val="INV 443"/>
      <sheetName val="INV 444"/>
      <sheetName val="INV 445"/>
      <sheetName val="INV 446"/>
      <sheetName val="INV 447"/>
      <sheetName val="INV 448"/>
      <sheetName val="INV 449"/>
      <sheetName val="INV 450"/>
      <sheetName val="INV 451"/>
      <sheetName val="INV 452"/>
      <sheetName val="INV 453"/>
      <sheetName val="INV 454"/>
      <sheetName val="INV 455"/>
      <sheetName val="INV 456"/>
      <sheetName val="INV 457"/>
      <sheetName val="INV 458"/>
      <sheetName val="INV 459"/>
      <sheetName val="INV 460"/>
      <sheetName val="INV 461"/>
      <sheetName val="INV 462"/>
      <sheetName val="INV 463"/>
      <sheetName val="INV 464"/>
      <sheetName val="INV 465"/>
      <sheetName val="INV 466"/>
      <sheetName val="INV 467"/>
      <sheetName val="INV 468"/>
      <sheetName val="INV 469"/>
      <sheetName val="INV 470"/>
      <sheetName val="INV 471"/>
      <sheetName val="INV 472"/>
      <sheetName val="INV 473"/>
      <sheetName val="INV 474"/>
      <sheetName val="INV 475"/>
      <sheetName val="INV 476"/>
      <sheetName val="INV 477"/>
      <sheetName val="INV 478"/>
      <sheetName val="INV 479"/>
      <sheetName val="INV 480"/>
      <sheetName val="INV 481"/>
      <sheetName val="INV 482"/>
      <sheetName val="INV 483"/>
      <sheetName val="INV 484"/>
      <sheetName val="INV 485"/>
      <sheetName val="INV 486"/>
      <sheetName val="INV 487"/>
      <sheetName val="INV 488"/>
      <sheetName val="INV 489"/>
      <sheetName val="INV 490"/>
      <sheetName val="INV 491"/>
      <sheetName val="INV 492"/>
      <sheetName val="INV 493"/>
      <sheetName val="INV 494"/>
      <sheetName val="INV 495"/>
      <sheetName val="INV 496"/>
      <sheetName val="INV 497"/>
      <sheetName val="INV 498"/>
      <sheetName val="INV 499"/>
      <sheetName val="INV 500"/>
      <sheetName val="INV 501"/>
      <sheetName val="INV 502"/>
      <sheetName val="INV 503"/>
      <sheetName val="INV 504"/>
      <sheetName val="INV 505"/>
      <sheetName val="INV 506"/>
      <sheetName val="INV 507"/>
      <sheetName val="INV 508"/>
      <sheetName val="Sheet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>
        <row r="1">
          <cell r="A1" t="str">
            <v>TERIGU JAWARA 25 KG</v>
          </cell>
        </row>
        <row r="2">
          <cell r="A2" t="str">
            <v>TERIGU F06 UNGU 25 KG</v>
          </cell>
        </row>
        <row r="3">
          <cell r="A3" t="str">
            <v>TERIGU JAWARA 1 KG (OUTER)</v>
          </cell>
        </row>
        <row r="4">
          <cell r="A4" t="str">
            <v>TERIGU BOLA MERAH 1 KG (OUTER)</v>
          </cell>
        </row>
        <row r="5">
          <cell r="A5" t="str">
            <v>TERIGU GOLDEN CROWN 25 KG</v>
          </cell>
        </row>
        <row r="6">
          <cell r="A6" t="str">
            <v>TERIGU GOLDEN CROWN HIJAU 25 KG</v>
          </cell>
        </row>
        <row r="7">
          <cell r="A7" t="str">
            <v>TERIGU GOLDEN EAGLE 25 KG</v>
          </cell>
        </row>
        <row r="8">
          <cell r="A8" t="str">
            <v>TERIGU HIKARI BIRU 25 KG</v>
          </cell>
        </row>
        <row r="9">
          <cell r="A9" t="str">
            <v>TERIGU KRAKATAU MERAH 25 KG</v>
          </cell>
        </row>
        <row r="11">
          <cell r="A11" t="str">
            <v>TERIGU GOLDEN EAGLE 1 KG (BOX)</v>
          </cell>
        </row>
        <row r="12">
          <cell r="A12" t="str">
            <v>TERIGU BOLA SALJU BIRU 1 KG (BOX)</v>
          </cell>
        </row>
        <row r="13">
          <cell r="A13" t="str">
            <v>TERIGU BOLA MERAH 1 KG (BOX)</v>
          </cell>
        </row>
        <row r="14">
          <cell r="A14" t="str">
            <v>TERIGU GOLDEN EAGLE MERAH 25 KG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oice 1"/>
      <sheetName val="Invoice 2"/>
      <sheetName val="Invoice 3"/>
      <sheetName val="Invoice 4"/>
      <sheetName val="Invoice 5"/>
      <sheetName val="Invoice 6"/>
      <sheetName val="Invoice 7"/>
      <sheetName val="Invoice 8"/>
      <sheetName val="Invoice 9"/>
      <sheetName val="Invoice 10"/>
      <sheetName val="Invoice 11"/>
      <sheetName val="Invoice 12"/>
      <sheetName val="Invoice 13"/>
      <sheetName val="Invoice 14"/>
      <sheetName val="Invoice 15"/>
      <sheetName val="Invoice 16"/>
      <sheetName val="Invoice 17"/>
      <sheetName val="Invoice 19"/>
      <sheetName val="Invoice 20"/>
      <sheetName val="Invoice 21"/>
      <sheetName val="Invoice 22"/>
      <sheetName val="Invoice 23"/>
      <sheetName val="Invoice 24"/>
      <sheetName val="Invoice 25"/>
      <sheetName val="Invoice 26"/>
      <sheetName val="Invoice 27"/>
      <sheetName val="Invoice 28"/>
      <sheetName val="Invoice 29"/>
      <sheetName val="Invoice 30"/>
      <sheetName val="Invoice 31"/>
      <sheetName val="Invoice 32"/>
      <sheetName val="Invoice 33"/>
      <sheetName val="Invoice 34"/>
      <sheetName val="Invoice 35"/>
      <sheetName val="Invoice 36"/>
      <sheetName val="Invoice 37"/>
      <sheetName val="Invoice 38"/>
      <sheetName val="Invoice 39"/>
      <sheetName val="Invoice 40"/>
      <sheetName val="Invoice 41"/>
      <sheetName val="Invoice 42"/>
      <sheetName val="Invoice 43"/>
      <sheetName val="Invoice 44"/>
      <sheetName val="Invoice 45"/>
      <sheetName val="Invoice 46"/>
      <sheetName val="Invoice 47"/>
      <sheetName val="Invoice 48"/>
      <sheetName val="Invoice 49"/>
      <sheetName val="Invoice 50"/>
      <sheetName val="Invoice 51"/>
      <sheetName val="Invoice 52"/>
      <sheetName val="Invoice 53"/>
      <sheetName val="Invoice 54"/>
      <sheetName val="Invoice 55"/>
      <sheetName val="Invoice 56"/>
      <sheetName val="Invoice 57"/>
      <sheetName val="Invoice 58"/>
      <sheetName val="Invoice 59"/>
      <sheetName val="Invoice 60"/>
      <sheetName val="Invoice 61"/>
      <sheetName val="Invoice 62"/>
      <sheetName val="Invoice 63"/>
      <sheetName val="Invoice 64"/>
      <sheetName val="Invoice 65"/>
      <sheetName val="Invoice 66"/>
      <sheetName val="Invoice 67"/>
      <sheetName val="Invoice 68"/>
      <sheetName val="Invoice 69"/>
      <sheetName val="Invoice 70"/>
      <sheetName val="Invoice 71"/>
      <sheetName val="Invoice 72"/>
      <sheetName val="Invoice 73"/>
      <sheetName val="Invoice 74"/>
      <sheetName val="Invoice 75"/>
      <sheetName val="Invoice 76"/>
      <sheetName val="Invoice 77"/>
      <sheetName val="Invoice 78"/>
      <sheetName val="Invoice 79"/>
      <sheetName val="Invoice 80"/>
      <sheetName val="Invoice 81"/>
      <sheetName val="Invoice 82"/>
      <sheetName val="Invoice 83"/>
      <sheetName val="Invoice 84"/>
      <sheetName val="Invoice 85"/>
      <sheetName val="Invoice 86"/>
      <sheetName val="Invoice 87"/>
      <sheetName val="Invoice 88"/>
      <sheetName val="Invoice 89"/>
      <sheetName val="Invoice 90"/>
      <sheetName val="Invoice 91"/>
      <sheetName val="Invoice 92"/>
      <sheetName val="Invoice 93"/>
      <sheetName val="Invoice 94"/>
      <sheetName val="Invoice 95"/>
      <sheetName val="Invoice 96"/>
      <sheetName val="Invoice 97"/>
      <sheetName val="Invoice 98"/>
      <sheetName val="Invoice 99"/>
      <sheetName val="Invoice 100"/>
      <sheetName val="Invoice 101"/>
      <sheetName val="Invoice 102"/>
      <sheetName val="Invoice 103"/>
      <sheetName val="Invoice 104"/>
      <sheetName val="Invoice 105"/>
      <sheetName val="Invoice 106"/>
      <sheetName val="Invoice 107"/>
      <sheetName val="Invoice 108"/>
      <sheetName val="Invoice 109"/>
      <sheetName val="Invoice 110"/>
      <sheetName val="Invoice 111"/>
      <sheetName val="Invoice 112"/>
      <sheetName val="Invoice 113"/>
      <sheetName val="Invoice 114"/>
      <sheetName val="Invoice 115"/>
      <sheetName val="Invoice 116"/>
      <sheetName val="Invoice 117"/>
      <sheetName val="Invoice 118"/>
      <sheetName val="Invoice 119"/>
      <sheetName val="Invoice 120"/>
      <sheetName val="Invoice 121"/>
      <sheetName val="Invoice 122"/>
      <sheetName val="Invoice 123"/>
      <sheetName val="Invoice 124"/>
      <sheetName val="Invoice 125"/>
      <sheetName val="Invoice 126"/>
      <sheetName val="Invoice 127"/>
      <sheetName val="Invoice 128"/>
      <sheetName val="Invoice 129"/>
      <sheetName val="Invoice 130"/>
      <sheetName val="Invoice 131"/>
      <sheetName val="Invoice 132"/>
      <sheetName val="Invoice 133"/>
      <sheetName val="Invoice 134"/>
      <sheetName val="Invoice 135"/>
      <sheetName val="Invoice 136"/>
      <sheetName val="Invoice 137"/>
      <sheetName val="Invoice 138"/>
      <sheetName val="Invoice 139"/>
      <sheetName val="Invoice 140"/>
      <sheetName val="Invoice 141"/>
      <sheetName val="Invoice 142"/>
      <sheetName val="Invoice 143"/>
      <sheetName val="Invoice 144"/>
      <sheetName val="Invoice 145"/>
      <sheetName val="Invoice 146"/>
      <sheetName val="Invoice 147"/>
      <sheetName val="Invoice 148"/>
      <sheetName val="Invoice 149"/>
      <sheetName val="Invoice 150"/>
      <sheetName val="Invoice 151"/>
      <sheetName val="Invoice 152"/>
      <sheetName val="Invoice 153"/>
      <sheetName val="Invoice 154"/>
      <sheetName val="Invoice 155"/>
      <sheetName val="Invoice 156"/>
      <sheetName val="Invoice 157"/>
      <sheetName val="Invoice 158"/>
      <sheetName val="Invoice 159"/>
      <sheetName val="Invoice 160"/>
      <sheetName val="Invoice 161"/>
      <sheetName val="Invoice 162"/>
      <sheetName val="Invoice 163"/>
      <sheetName val="Invoice 164"/>
      <sheetName val="Invoice 165"/>
      <sheetName val="Invoice 166"/>
      <sheetName val="Invoice 167"/>
      <sheetName val="Invoice 168"/>
      <sheetName val="Invoice 169"/>
      <sheetName val="Invoice 170"/>
      <sheetName val="Invoice 171"/>
      <sheetName val="Invoice 172"/>
      <sheetName val="Invoice 173"/>
      <sheetName val="Invoice 174"/>
      <sheetName val="Invoice 175"/>
      <sheetName val="Invoice 176"/>
      <sheetName val="Invoice 177"/>
      <sheetName val="Invoice 178"/>
      <sheetName val="Invoice 179"/>
      <sheetName val="Invoice 180"/>
      <sheetName val="Invoice 181"/>
      <sheetName val="Invoice 182"/>
      <sheetName val="Invoice 183"/>
      <sheetName val="Invoice 184"/>
      <sheetName val="Invoice 185"/>
      <sheetName val="Invoice 186"/>
      <sheetName val="Invoice 187"/>
      <sheetName val="Invoice 188"/>
      <sheetName val="Invoice 189"/>
      <sheetName val="Invoice 190"/>
      <sheetName val="Invoice 191"/>
      <sheetName val="Invoice 192"/>
      <sheetName val="Invoice 193"/>
      <sheetName val="Invoice 194"/>
      <sheetName val="Invoice 195"/>
      <sheetName val="Invoice 196"/>
      <sheetName val="Invoice 197"/>
      <sheetName val="Invoice 198"/>
      <sheetName val="Invoice 199"/>
      <sheetName val="Invoice 200"/>
      <sheetName val="Invoice 201"/>
      <sheetName val="Invoice 202"/>
      <sheetName val="Invoice 203"/>
      <sheetName val="Invoice 204"/>
      <sheetName val="Invoice 205"/>
      <sheetName val="Invoice 206"/>
      <sheetName val="Invoice 207"/>
      <sheetName val="Invoice 208"/>
      <sheetName val="Invoice 209"/>
      <sheetName val="Invoice 210"/>
      <sheetName val="Invoice 211"/>
      <sheetName val="Invoice 212"/>
      <sheetName val="Invoice 213"/>
      <sheetName val="Invoice 214"/>
      <sheetName val="Invoice 215"/>
      <sheetName val="Invoice 216"/>
      <sheetName val="Invoice 217"/>
      <sheetName val="Invoice 218"/>
      <sheetName val="Invoice 219"/>
      <sheetName val="Invoice 220"/>
      <sheetName val="Invoice 221"/>
      <sheetName val="Invoice 222"/>
      <sheetName val="Invoice 223"/>
      <sheetName val="Invoice 224"/>
      <sheetName val="Invoice 225"/>
      <sheetName val="Invoice 226"/>
      <sheetName val="Invoice 227"/>
      <sheetName val="Invoice 228"/>
      <sheetName val="Invoice 230"/>
      <sheetName val="Invoice 231"/>
      <sheetName val="Invoice 232"/>
      <sheetName val="Invoice 233"/>
      <sheetName val="Invoice 234"/>
      <sheetName val="Invoice 235"/>
      <sheetName val="Invoice 236"/>
      <sheetName val="Invoice 237"/>
      <sheetName val="Invoice 238"/>
      <sheetName val="Invoice 239"/>
      <sheetName val="Invoice 240"/>
      <sheetName val="Invoice 241"/>
      <sheetName val="Invoice 242"/>
      <sheetName val="Invoice 243"/>
      <sheetName val="Invoice 244"/>
      <sheetName val="Invoice 245"/>
      <sheetName val="Invoice 246"/>
      <sheetName val="Invoice 247"/>
      <sheetName val="Invoice 248"/>
      <sheetName val="Invoice 249"/>
      <sheetName val="Invoice 250"/>
      <sheetName val="Invoice 251"/>
      <sheetName val="Invoice 252"/>
      <sheetName val="Invoice 253"/>
      <sheetName val="Invoice 254"/>
      <sheetName val="Invoice 255"/>
      <sheetName val="Invoice 256"/>
      <sheetName val="Invoice 257"/>
      <sheetName val="Invoice 258"/>
      <sheetName val="Invoice 259"/>
      <sheetName val="Invoice 260"/>
      <sheetName val="Invoice 261"/>
      <sheetName val="Invoice 262"/>
      <sheetName val="Invoice 263"/>
      <sheetName val="Invoice 264"/>
      <sheetName val="Invoice 265"/>
      <sheetName val="Invoice 266"/>
      <sheetName val="Invoice 267"/>
      <sheetName val="Invoice 268"/>
      <sheetName val="Invoice 269"/>
      <sheetName val="Invoice 270"/>
      <sheetName val="Invoice 271"/>
      <sheetName val="Invoice 272"/>
      <sheetName val="Invoice 273"/>
      <sheetName val="Invoice 274"/>
      <sheetName val="Invoice 275"/>
      <sheetName val="Invoice 276"/>
      <sheetName val="Invoice 277"/>
      <sheetName val="Invoice 278"/>
      <sheetName val="Invoice 279"/>
      <sheetName val="Invoice 280"/>
      <sheetName val="Sheet1"/>
      <sheetName val="Sheet4"/>
      <sheetName val="Sheet2"/>
    </sheetNames>
    <sheetDataSet>
      <sheetData sheetId="0"/>
      <sheetData sheetId="1"/>
      <sheetData sheetId="2"/>
      <sheetData sheetId="3">
        <row r="10">
          <cell r="A10" t="str">
            <v>HERMAN</v>
          </cell>
        </row>
        <row r="11">
          <cell r="A11" t="str">
            <v>Maju Jaya - Jl. Setia Budi No. 8, Kel. Lapuli, Kec. Abeli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A10" t="str">
            <v>MOHAMMAD RUSLI</v>
          </cell>
        </row>
        <row r="11">
          <cell r="A11" t="str">
            <v>H. Sanri - Desa Ambololi, Konda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2">
          <cell r="B2" t="str">
            <v>TERIGU JAWARA MERAH 25 KG</v>
          </cell>
        </row>
        <row r="3">
          <cell r="B3" t="str">
            <v>TERIGU F10 H 25 KG</v>
          </cell>
        </row>
        <row r="6">
          <cell r="B6" t="str">
            <v>TERIGU JAWARA 1 KG (BOX)</v>
          </cell>
        </row>
      </sheetData>
      <sheetData sheetId="279"/>
      <sheetData sheetId="2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0"/>
      <sheetName val="011"/>
      <sheetName val="012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023"/>
      <sheetName val="024"/>
      <sheetName val="025"/>
      <sheetName val="026"/>
      <sheetName val="027"/>
      <sheetName val="028"/>
      <sheetName val="029"/>
      <sheetName val="030"/>
      <sheetName val="031"/>
      <sheetName val="032"/>
      <sheetName val="033"/>
      <sheetName val="034"/>
      <sheetName val="035"/>
      <sheetName val="036"/>
      <sheetName val="037"/>
      <sheetName val="038"/>
      <sheetName val="039"/>
      <sheetName val="040"/>
      <sheetName val="041"/>
      <sheetName val="042"/>
      <sheetName val="043"/>
      <sheetName val="044"/>
      <sheetName val="045"/>
      <sheetName val="046"/>
      <sheetName val="047"/>
      <sheetName val="048"/>
    </sheetNames>
    <sheetDataSet>
      <sheetData sheetId="0">
        <row r="41">
          <cell r="H41" t="str">
            <v>Loco Makassar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invoice-templates.html?utm_source=invoice-template&amp;utm_campaign=templates&amp;utm_content=more" TargetMode="External"/><Relationship Id="rId1" Type="http://schemas.openxmlformats.org/officeDocument/2006/relationships/hyperlink" Target="https://www.vertex42.com/ExcelTemplates/excel-invoice-template.html?utm_source=invoice-template&amp;utm_campaign=templates&amp;utm_content=titl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2ECB-7893-4966-A33B-A5A0F0BC1253}">
  <sheetPr>
    <pageSetUpPr fitToPage="1"/>
  </sheetPr>
  <dimension ref="A3:K39"/>
  <sheetViews>
    <sheetView showGridLines="0" tabSelected="1" zoomScale="50" zoomScaleNormal="50" zoomScaleSheetLayoutView="41" workbookViewId="0">
      <selection activeCell="I7" sqref="I7"/>
    </sheetView>
  </sheetViews>
  <sheetFormatPr defaultColWidth="9.109375" defaultRowHeight="13.2" x14ac:dyDescent="0.25"/>
  <cols>
    <col min="1" max="1" width="80.77734375" style="1" customWidth="1"/>
    <col min="2" max="2" width="1.6640625" style="1" customWidth="1"/>
    <col min="3" max="3" width="18.109375" style="1" customWidth="1"/>
    <col min="4" max="4" width="29.21875" style="1" customWidth="1"/>
    <col min="5" max="5" width="17.88671875" style="1" customWidth="1"/>
    <col min="6" max="6" width="23.88671875" style="1" customWidth="1"/>
    <col min="7" max="7" width="15.77734375" style="1" customWidth="1"/>
    <col min="8" max="8" width="45.21875" style="1" customWidth="1"/>
    <col min="9" max="9" width="72.6640625" style="1" customWidth="1"/>
    <col min="10" max="10" width="7" style="1" customWidth="1"/>
    <col min="11" max="11" width="32.88671875" style="1" customWidth="1"/>
    <col min="12" max="16384" width="9.109375" style="1"/>
  </cols>
  <sheetData>
    <row r="3" spans="1:11" s="5" customFormat="1" ht="30" customHeight="1" x14ac:dyDescent="0.3">
      <c r="A3" s="94" t="s">
        <v>15</v>
      </c>
      <c r="B3" s="2"/>
      <c r="C3" s="3"/>
      <c r="D3" s="4"/>
      <c r="E3" s="4"/>
      <c r="F3" s="4"/>
      <c r="G3" s="97" t="s">
        <v>40</v>
      </c>
      <c r="H3" s="97"/>
    </row>
    <row r="4" spans="1:11" s="5" customFormat="1" ht="25.05" customHeight="1" x14ac:dyDescent="0.3">
      <c r="A4" s="53" t="s">
        <v>28</v>
      </c>
      <c r="B4" s="6"/>
      <c r="C4" s="7"/>
      <c r="D4" s="7"/>
      <c r="E4" s="7"/>
      <c r="F4" s="98" t="s">
        <v>41</v>
      </c>
      <c r="G4" s="99"/>
      <c r="H4" s="92"/>
      <c r="K4" s="8" t="s">
        <v>0</v>
      </c>
    </row>
    <row r="5" spans="1:11" s="5" customFormat="1" ht="25.05" customHeight="1" x14ac:dyDescent="0.3">
      <c r="A5" s="54" t="s">
        <v>29</v>
      </c>
      <c r="B5" s="6"/>
      <c r="C5" s="10"/>
      <c r="D5" s="10"/>
      <c r="E5" s="10"/>
      <c r="F5" s="100" t="s">
        <v>36</v>
      </c>
      <c r="G5" s="101"/>
      <c r="H5" s="72"/>
      <c r="I5" s="11"/>
      <c r="K5" s="12" t="s">
        <v>1</v>
      </c>
    </row>
    <row r="6" spans="1:11" s="5" customFormat="1" ht="25.05" customHeight="1" x14ac:dyDescent="0.3">
      <c r="A6" s="54" t="s">
        <v>30</v>
      </c>
      <c r="B6" s="6"/>
      <c r="C6" s="10"/>
      <c r="D6" s="10"/>
      <c r="E6" s="10"/>
      <c r="F6" s="100" t="s">
        <v>23</v>
      </c>
      <c r="G6" s="101"/>
      <c r="H6" s="93"/>
      <c r="I6" s="5" t="s">
        <v>2</v>
      </c>
    </row>
    <row r="7" spans="1:11" s="5" customFormat="1" ht="25.05" customHeight="1" x14ac:dyDescent="0.3">
      <c r="A7" s="55" t="s">
        <v>31</v>
      </c>
      <c r="B7" s="6"/>
      <c r="C7" s="10"/>
      <c r="D7" s="10"/>
      <c r="E7" s="10"/>
      <c r="F7" s="102" t="s">
        <v>42</v>
      </c>
      <c r="G7" s="103"/>
      <c r="H7" s="95"/>
    </row>
    <row r="8" spans="1:11" ht="13.8" x14ac:dyDescent="0.25">
      <c r="A8" s="13"/>
      <c r="B8" s="13"/>
      <c r="C8" s="14"/>
      <c r="D8" s="14"/>
      <c r="E8" s="14"/>
      <c r="F8" s="14"/>
      <c r="G8" s="14"/>
      <c r="H8" s="15"/>
      <c r="K8" s="16" t="s">
        <v>4</v>
      </c>
    </row>
    <row r="9" spans="1:11" ht="25.05" customHeight="1" x14ac:dyDescent="0.4">
      <c r="A9" s="58" t="s">
        <v>16</v>
      </c>
      <c r="B9" s="17"/>
      <c r="C9" s="14"/>
      <c r="D9" s="14"/>
      <c r="E9" s="14"/>
      <c r="F9" s="14"/>
      <c r="G9" s="14"/>
      <c r="H9" s="15"/>
    </row>
    <row r="10" spans="1:11" ht="15.45" customHeight="1" x14ac:dyDescent="0.25">
      <c r="A10" s="96"/>
      <c r="B10" s="96"/>
      <c r="C10" s="96"/>
      <c r="D10" s="96"/>
      <c r="E10" s="96"/>
      <c r="F10" s="6"/>
      <c r="G10" s="14"/>
      <c r="H10" s="15"/>
      <c r="K10" s="18"/>
    </row>
    <row r="11" spans="1:11" ht="13.95" customHeight="1" x14ac:dyDescent="0.25">
      <c r="A11" s="96"/>
      <c r="B11" s="96"/>
      <c r="C11" s="96"/>
      <c r="D11" s="96"/>
      <c r="E11" s="96"/>
      <c r="F11" s="6"/>
      <c r="G11" s="14"/>
      <c r="H11" s="15"/>
    </row>
    <row r="12" spans="1:11" ht="15.45" customHeight="1" x14ac:dyDescent="0.25">
      <c r="A12" s="96"/>
      <c r="B12" s="96"/>
      <c r="C12" s="96"/>
      <c r="D12" s="96"/>
      <c r="E12" s="96"/>
      <c r="F12" s="6"/>
      <c r="G12" s="14"/>
      <c r="H12" s="15"/>
    </row>
    <row r="13" spans="1:11" ht="13.8" x14ac:dyDescent="0.3">
      <c r="A13" s="19"/>
      <c r="B13" s="19"/>
      <c r="C13" s="14"/>
      <c r="D13" s="14"/>
      <c r="E13" s="14"/>
      <c r="F13" s="14"/>
      <c r="G13" s="14"/>
      <c r="H13" s="15"/>
    </row>
    <row r="14" spans="1:11" s="20" customFormat="1" ht="48" customHeight="1" x14ac:dyDescent="0.3">
      <c r="A14" s="107" t="s">
        <v>32</v>
      </c>
      <c r="B14" s="108"/>
      <c r="C14" s="89" t="s">
        <v>38</v>
      </c>
      <c r="D14" s="89" t="s">
        <v>33</v>
      </c>
      <c r="E14" s="69" t="s">
        <v>37</v>
      </c>
      <c r="F14" s="89" t="s">
        <v>34</v>
      </c>
      <c r="G14" s="89" t="s">
        <v>35</v>
      </c>
      <c r="H14" s="90" t="s">
        <v>5</v>
      </c>
    </row>
    <row r="15" spans="1:11" s="5" customFormat="1" ht="28.05" customHeight="1" x14ac:dyDescent="0.3">
      <c r="A15" s="109"/>
      <c r="B15" s="110"/>
      <c r="C15" s="73"/>
      <c r="D15" s="74" t="str">
        <f>IFERROR(VLOOKUP(A15,#REF!,2,0),"")</f>
        <v/>
      </c>
      <c r="E15" s="75" t="str">
        <f>IFERROR(IF(C15="","",IF(C15="S1",VLOOKUP('001'!D15,#REF!,4,0),IF(C15="S2",VLOOKUP(D15,#REF!,6,0),IF('001'!C15="S3",VLOOKUP('001'!D15,#REF!,8,0),IF('001'!C15="S4",VLOOKUP('001'!D15,#REF!,10,0)))))),"")</f>
        <v/>
      </c>
      <c r="F15" s="76" t="str">
        <f>IFERROR(IF(C15="","",IF(C15="S1",VLOOKUP('001'!D15,#REF!,3,0),IF(C15="S2",VLOOKUP(D15,#REF!,5,0),IF('001'!C15="S3",VLOOKUP('001'!D15,#REF!,7,0),IF('001'!C15="S4",VLOOKUP('001'!D15,#REF!,9,0)))))),"")</f>
        <v/>
      </c>
      <c r="G15" s="76"/>
      <c r="H15" s="77" t="str">
        <f>IFERROR(F15*G15,"")</f>
        <v/>
      </c>
    </row>
    <row r="16" spans="1:11" s="5" customFormat="1" ht="28.05" customHeight="1" x14ac:dyDescent="0.3">
      <c r="A16" s="78"/>
      <c r="B16" s="3"/>
      <c r="C16" s="79"/>
      <c r="D16" s="80" t="str">
        <f>IFERROR(VLOOKUP(A16,#REF!,2,0),"")</f>
        <v/>
      </c>
      <c r="E16" s="81" t="str">
        <f>IFERROR(IF(C16="","",IF(C16="S1",VLOOKUP('001'!D16,#REF!,4,0),IF(C16="S2",VLOOKUP(D16,#REF!,6,0),IF('001'!C16="S3",VLOOKUP('001'!D16,#REF!,8,0),IF('001'!C16="S4",VLOOKUP('001'!D16,#REF!,10,0)))))),"")</f>
        <v/>
      </c>
      <c r="F16" s="82" t="str">
        <f>IFERROR(IF(C16="","",IF(C16="S1",VLOOKUP('001'!D16,#REF!,3,0),IF(C16="S2",VLOOKUP(D16,#REF!,5,0),IF('001'!C16="S3",VLOOKUP('001'!D16,#REF!,7,0),IF('001'!C16="S4",VLOOKUP('001'!D16,#REF!,9,0)))))),"")</f>
        <v/>
      </c>
      <c r="G16" s="82"/>
      <c r="H16" s="83" t="str">
        <f>IFERROR(F16*G16,"")</f>
        <v/>
      </c>
      <c r="K16" s="21"/>
    </row>
    <row r="17" spans="1:11" s="5" customFormat="1" ht="28.05" customHeight="1" x14ac:dyDescent="0.3">
      <c r="A17" s="109"/>
      <c r="B17" s="110"/>
      <c r="C17" s="79"/>
      <c r="D17" s="80" t="str">
        <f>IFERROR(VLOOKUP(A17,#REF!,2,0),"")</f>
        <v/>
      </c>
      <c r="E17" s="81" t="str">
        <f>IFERROR(IF(C17="","",IF(C17="S1",VLOOKUP('001'!D17,#REF!,4,0),IF(C17="S2",VLOOKUP(D17,#REF!,6,0),IF('001'!C17="S3",VLOOKUP('001'!D17,#REF!,8,0),IF('001'!C17="S4",VLOOKUP('001'!D17,#REF!,10,0)))))),"")</f>
        <v/>
      </c>
      <c r="F17" s="82" t="str">
        <f>IFERROR(IF(C17="","",IF(C17="S1",VLOOKUP('001'!D17,#REF!,3,0),IF(C17="S2",VLOOKUP(D17,#REF!,5,0),IF('001'!C17="S3",VLOOKUP('001'!D17,#REF!,7,0),IF('001'!C17="S4",VLOOKUP('001'!D17,#REF!,9,0)))))),"")</f>
        <v/>
      </c>
      <c r="G17" s="82"/>
      <c r="H17" s="83" t="str">
        <f t="shared" ref="H17:H18" si="0">IFERROR(F17*G17,"")</f>
        <v/>
      </c>
      <c r="K17" s="21"/>
    </row>
    <row r="18" spans="1:11" s="5" customFormat="1" ht="28.05" customHeight="1" x14ac:dyDescent="0.3">
      <c r="A18" s="111"/>
      <c r="B18" s="112"/>
      <c r="C18" s="84"/>
      <c r="D18" s="85" t="str">
        <f>IFERROR(VLOOKUP(A18,#REF!,2,0),"")</f>
        <v/>
      </c>
      <c r="E18" s="86" t="str">
        <f>IFERROR(IF(C18="","",IF(C18="S1",VLOOKUP('001'!D18,#REF!,4,0),IF(C18="S2",VLOOKUP(D18,#REF!,6,0),IF('001'!C18="S3",VLOOKUP('001'!D18,#REF!,8,0),IF('001'!C18="S4",VLOOKUP('001'!D18,#REF!,10,0)))))),"")</f>
        <v/>
      </c>
      <c r="F18" s="87" t="str">
        <f>IFERROR(IF(C18="","",IF(C18="S1",VLOOKUP('001'!D18,#REF!,3,0),IF(C18="S2",VLOOKUP(D18,#REF!,5,0),IF('001'!C18="S3",VLOOKUP('001'!D18,#REF!,7,0),IF('001'!C18="S4",VLOOKUP('001'!D18,#REF!,9,0)))))),"")</f>
        <v/>
      </c>
      <c r="G18" s="87"/>
      <c r="H18" s="88" t="str">
        <f t="shared" si="0"/>
        <v/>
      </c>
      <c r="K18" s="21"/>
    </row>
    <row r="19" spans="1:11" s="5" customFormat="1" ht="42.45" customHeight="1" x14ac:dyDescent="0.3">
      <c r="A19" s="113"/>
      <c r="B19" s="113"/>
      <c r="C19" s="113"/>
      <c r="D19" s="25"/>
      <c r="E19" s="26"/>
      <c r="F19" s="65" t="s">
        <v>39</v>
      </c>
      <c r="G19" s="91">
        <f>SUM(G15:G18)</f>
        <v>0</v>
      </c>
      <c r="H19" s="70">
        <f>SUM(H15:H18)</f>
        <v>0</v>
      </c>
      <c r="I19" s="27"/>
      <c r="K19" s="5" t="s">
        <v>6</v>
      </c>
    </row>
    <row r="20" spans="1:11" s="5" customFormat="1" ht="25.05" customHeight="1" x14ac:dyDescent="0.3">
      <c r="A20" s="114"/>
      <c r="B20" s="114"/>
      <c r="C20" s="114"/>
      <c r="D20" s="25"/>
      <c r="E20" s="26"/>
      <c r="F20" s="65" t="s">
        <v>17</v>
      </c>
      <c r="G20" s="25"/>
      <c r="H20" s="68">
        <f>H19-(H19/1.11)</f>
        <v>0</v>
      </c>
      <c r="I20" s="67"/>
      <c r="K20" s="5" t="s">
        <v>7</v>
      </c>
    </row>
    <row r="21" spans="1:11" s="5" customFormat="1" ht="25.05" customHeight="1" x14ac:dyDescent="0.3">
      <c r="A21" s="24"/>
      <c r="B21" s="24"/>
      <c r="C21" s="28"/>
      <c r="D21" s="29"/>
      <c r="E21" s="26"/>
      <c r="F21" s="66" t="s">
        <v>18</v>
      </c>
      <c r="G21" s="23"/>
      <c r="H21" s="71">
        <f>H19</f>
        <v>0</v>
      </c>
      <c r="I21" s="67"/>
      <c r="K21" s="21"/>
    </row>
    <row r="22" spans="1:11" s="5" customFormat="1" ht="10.050000000000001" customHeight="1" x14ac:dyDescent="0.3">
      <c r="A22" s="24"/>
      <c r="B22" s="24"/>
      <c r="C22" s="28"/>
      <c r="D22" s="29"/>
      <c r="E22" s="26"/>
      <c r="F22" s="26"/>
      <c r="G22" s="29"/>
      <c r="H22" s="30"/>
      <c r="I22" s="27"/>
      <c r="K22" s="21"/>
    </row>
    <row r="23" spans="1:11" s="5" customFormat="1" ht="19.95" customHeight="1" x14ac:dyDescent="0.3">
      <c r="A23" s="104"/>
      <c r="B23" s="104"/>
      <c r="C23" s="104"/>
      <c r="D23" s="104"/>
      <c r="E23" s="104"/>
      <c r="F23" s="104"/>
      <c r="G23" s="104"/>
      <c r="H23" s="104"/>
      <c r="K23" s="5" t="s">
        <v>8</v>
      </c>
    </row>
    <row r="24" spans="1:11" ht="10.050000000000001" customHeight="1" x14ac:dyDescent="0.25">
      <c r="A24" s="31"/>
      <c r="B24" s="31"/>
      <c r="C24" s="31"/>
      <c r="D24" s="31"/>
      <c r="E24" s="31"/>
      <c r="F24" s="31"/>
      <c r="G24" s="31"/>
      <c r="H24" s="31"/>
    </row>
    <row r="25" spans="1:11" s="5" customFormat="1" ht="44.55" customHeight="1" x14ac:dyDescent="0.3">
      <c r="A25" s="32" t="s">
        <v>9</v>
      </c>
      <c r="B25" s="33"/>
      <c r="C25" s="34" t="s">
        <v>22</v>
      </c>
      <c r="D25" s="34" t="s">
        <v>20</v>
      </c>
      <c r="E25" s="34" t="s">
        <v>21</v>
      </c>
      <c r="F25" s="34" t="s">
        <v>19</v>
      </c>
      <c r="G25" s="105" t="s">
        <v>16</v>
      </c>
      <c r="H25" s="106"/>
    </row>
    <row r="26" spans="1:11" s="5" customFormat="1" ht="19.95" customHeight="1" x14ac:dyDescent="0.3">
      <c r="A26" s="64" t="s">
        <v>10</v>
      </c>
      <c r="B26" s="36"/>
      <c r="C26" s="35"/>
      <c r="D26" s="37"/>
      <c r="E26" s="37"/>
      <c r="F26" s="37"/>
      <c r="G26" s="38"/>
      <c r="H26" s="39"/>
    </row>
    <row r="27" spans="1:11" s="5" customFormat="1" ht="25.05" customHeight="1" x14ac:dyDescent="0.3">
      <c r="A27" s="61" t="s">
        <v>27</v>
      </c>
      <c r="B27" s="36"/>
      <c r="C27" s="35"/>
      <c r="D27" s="37"/>
      <c r="E27" s="37"/>
      <c r="F27" s="37"/>
      <c r="G27" s="56"/>
      <c r="H27" s="57"/>
    </row>
    <row r="28" spans="1:11" s="5" customFormat="1" ht="25.05" customHeight="1" x14ac:dyDescent="0.3">
      <c r="A28" s="59" t="s">
        <v>25</v>
      </c>
      <c r="B28" s="40"/>
      <c r="C28" s="9"/>
      <c r="D28" s="41"/>
      <c r="E28" s="41"/>
      <c r="F28" s="41"/>
      <c r="G28" s="22"/>
      <c r="H28" s="42"/>
    </row>
    <row r="29" spans="1:11" s="5" customFormat="1" ht="25.05" customHeight="1" x14ac:dyDescent="0.3">
      <c r="A29" s="60" t="s">
        <v>11</v>
      </c>
      <c r="B29" s="43"/>
      <c r="C29" s="9"/>
      <c r="D29" s="41"/>
      <c r="E29" s="41"/>
      <c r="F29" s="41"/>
      <c r="G29" s="22"/>
      <c r="H29" s="42"/>
    </row>
    <row r="30" spans="1:11" s="5" customFormat="1" ht="25.05" customHeight="1" x14ac:dyDescent="0.3">
      <c r="A30" s="61" t="s">
        <v>24</v>
      </c>
      <c r="B30" s="45"/>
      <c r="C30" s="44"/>
      <c r="D30" s="41"/>
      <c r="E30" s="41"/>
      <c r="F30" s="41"/>
      <c r="G30" s="22"/>
      <c r="H30" s="42"/>
    </row>
    <row r="31" spans="1:11" s="5" customFormat="1" ht="25.05" customHeight="1" x14ac:dyDescent="0.3">
      <c r="A31" s="60" t="s">
        <v>12</v>
      </c>
      <c r="B31" s="46"/>
      <c r="C31" s="44"/>
      <c r="D31" s="41"/>
      <c r="E31" s="41"/>
      <c r="F31" s="41"/>
      <c r="G31" s="22"/>
      <c r="H31" s="47"/>
    </row>
    <row r="32" spans="1:11" s="5" customFormat="1" ht="25.05" customHeight="1" x14ac:dyDescent="0.3">
      <c r="A32" s="62" t="s">
        <v>26</v>
      </c>
      <c r="B32" s="43"/>
      <c r="C32" s="9"/>
      <c r="D32" s="44"/>
      <c r="E32" s="44"/>
      <c r="F32" s="44"/>
      <c r="G32" s="48"/>
      <c r="H32" s="49"/>
    </row>
    <row r="33" spans="1:9" s="5" customFormat="1" ht="25.05" customHeight="1" x14ac:dyDescent="0.3">
      <c r="A33" s="63" t="s">
        <v>13</v>
      </c>
      <c r="B33" s="46"/>
      <c r="C33" s="50"/>
      <c r="D33" s="50"/>
      <c r="E33" s="50"/>
      <c r="F33" s="50"/>
      <c r="G33" s="51"/>
      <c r="H33" s="52"/>
    </row>
    <row r="34" spans="1:9" ht="20.25" customHeight="1" x14ac:dyDescent="0.25"/>
    <row r="38" spans="1:9" x14ac:dyDescent="0.25">
      <c r="I38" s="1" t="s">
        <v>3</v>
      </c>
    </row>
    <row r="39" spans="1:9" x14ac:dyDescent="0.25">
      <c r="I39" s="1" t="s">
        <v>14</v>
      </c>
    </row>
  </sheetData>
  <mergeCells count="14">
    <mergeCell ref="A23:H23"/>
    <mergeCell ref="G25:H25"/>
    <mergeCell ref="A14:B14"/>
    <mergeCell ref="A15:B15"/>
    <mergeCell ref="A17:B17"/>
    <mergeCell ref="A18:B18"/>
    <mergeCell ref="A19:C19"/>
    <mergeCell ref="A20:C20"/>
    <mergeCell ref="A10:E12"/>
    <mergeCell ref="G3:H3"/>
    <mergeCell ref="F4:G4"/>
    <mergeCell ref="F5:G5"/>
    <mergeCell ref="F6:G6"/>
    <mergeCell ref="F7:G7"/>
  </mergeCells>
  <dataValidations count="2">
    <dataValidation type="list" allowBlank="1" showInputMessage="1" showErrorMessage="1" sqref="C15 C17:C18" xr:uid="{C899A1EF-20C9-4CB3-8E5C-46E702DC08EA}">
      <formula1>"S1,S2,S3,S4"</formula1>
    </dataValidation>
    <dataValidation type="list" allowBlank="1" showInputMessage="1" showErrorMessage="1" sqref="A15:A18" xr:uid="{6F0FF519-DE48-4B4C-9DF0-F5589FB97027}">
      <formula1>#REF!</formula1>
    </dataValidation>
  </dataValidations>
  <hyperlinks>
    <hyperlink ref="K5" r:id="rId1" xr:uid="{6B9C3EDB-5646-4869-AF4C-B7AB1CCBB13A}"/>
    <hyperlink ref="K8" r:id="rId2" xr:uid="{B367FD03-394B-4BA3-BEB8-8D95856C26A2}"/>
  </hyperlinks>
  <printOptions horizontalCentered="1"/>
  <pageMargins left="0.7" right="0.7" top="0.75" bottom="0.75" header="0.3" footer="0.3"/>
  <pageSetup paperSize="9" scale="37" fitToHeight="0" orientation="portrait" horizontalDpi="240" verticalDpi="144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001</vt:lpstr>
      <vt:lpstr>'001'!FM</vt:lpstr>
      <vt:lpstr>'001'!IKHLAS</vt:lpstr>
      <vt:lpstr>'001'!LM</vt:lpstr>
      <vt:lpstr>'001'!PG</vt:lpstr>
      <vt:lpstr>'001'!Print_Area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A416</dc:creator>
  <cp:lastModifiedBy>Alan Niode</cp:lastModifiedBy>
  <cp:lastPrinted>2026-08-13T01:53:58Z</cp:lastPrinted>
  <dcterms:created xsi:type="dcterms:W3CDTF">2026-02-19T01:54:01Z</dcterms:created>
  <dcterms:modified xsi:type="dcterms:W3CDTF">2026-08-13T16:16:34Z</dcterms:modified>
</cp:coreProperties>
</file>